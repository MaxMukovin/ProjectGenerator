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maxim\GitHub\ProjectGenerator\"/>
    </mc:Choice>
  </mc:AlternateContent>
  <xr:revisionPtr revIDLastSave="0" documentId="13_ncr:1_{2AD2D663-3610-4B3B-9033-444608EE1C96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ata" sheetId="1" r:id="rId1"/>
  </sheets>
  <definedNames>
    <definedName name="Address">Data!$C$14</definedName>
    <definedName name="AddrResponse">Data!$C$65</definedName>
    <definedName name="Antennas">Data!$C$51</definedName>
    <definedName name="BS_Number">Data!$C$11</definedName>
    <definedName name="BSNumbResponse">Data!$C$62</definedName>
    <definedName name="check_AOP">Data!$B$41</definedName>
    <definedName name="check_AS">Data!$B$44</definedName>
    <definedName name="check_EM">Data!$B$47</definedName>
    <definedName name="check_PZ">Data!$B$42</definedName>
    <definedName name="check_RRS">Data!$B$45</definedName>
    <definedName name="check_RRS1">Data!$B$46</definedName>
    <definedName name="check_RS">Data!$B$43</definedName>
    <definedName name="check_TZ">Data!$B$40</definedName>
    <definedName name="Code">Data!$C$18</definedName>
    <definedName name="Construction">Data!$C$58</definedName>
    <definedName name="Contractor">Data!$C$34</definedName>
    <definedName name="GIP">Data!$C$37</definedName>
    <definedName name="KS">Data!$C$54</definedName>
    <definedName name="Organisation">Data!$C$31</definedName>
    <definedName name="Power">Data!$C$72</definedName>
    <definedName name="Range">Data!$C$17</definedName>
    <definedName name="Rectifier">Data!$C$78</definedName>
    <definedName name="Switcher">Data!$C$75</definedName>
    <definedName name="TU_Number">Data!$C$69</definedName>
    <definedName name="WorkType">Data!$C$8</definedName>
    <definedName name="Year">Data!$C$5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" l="1"/>
  <c r="C17" i="1"/>
</calcChain>
</file>

<file path=xl/sharedStrings.xml><?xml version="1.0" encoding="utf-8"?>
<sst xmlns="http://schemas.openxmlformats.org/spreadsheetml/2006/main" count="55" uniqueCount="52">
  <si>
    <t>Номер БС</t>
  </si>
  <si>
    <t>Адрес</t>
  </si>
  <si>
    <t>ОСНОВНЫЕ</t>
  </si>
  <si>
    <t>GSM-900</t>
  </si>
  <si>
    <t>DCS-1800</t>
  </si>
  <si>
    <t>UMTS-2100</t>
  </si>
  <si>
    <t>LTE-1800</t>
  </si>
  <si>
    <t>LTE-2600</t>
  </si>
  <si>
    <t>LTE-2600TDD</t>
  </si>
  <si>
    <t>LTE-800</t>
  </si>
  <si>
    <t>LTE-900</t>
  </si>
  <si>
    <t>UMTS-900</t>
  </si>
  <si>
    <t>Год</t>
  </si>
  <si>
    <t>Организация</t>
  </si>
  <si>
    <t>Контрагент</t>
  </si>
  <si>
    <t>ООО «Запад Строй Инжиниринг»</t>
  </si>
  <si>
    <t>СОСТАВ ПРОЕКТА</t>
  </si>
  <si>
    <t>Вид работ</t>
  </si>
  <si>
    <t>Строительство</t>
  </si>
  <si>
    <t>ТЗ</t>
  </si>
  <si>
    <t>АОП (Ф4)</t>
  </si>
  <si>
    <t>ПЗ</t>
  </si>
  <si>
    <t>РС</t>
  </si>
  <si>
    <t>АС</t>
  </si>
  <si>
    <t>РРС</t>
  </si>
  <si>
    <t>РРС1</t>
  </si>
  <si>
    <t>ЭМ</t>
  </si>
  <si>
    <t>ТЗ / АОП</t>
  </si>
  <si>
    <t>Антенны</t>
  </si>
  <si>
    <t>КШ</t>
  </si>
  <si>
    <t>тип-5</t>
  </si>
  <si>
    <t>ГИП</t>
  </si>
  <si>
    <t>Металлоконструкция</t>
  </si>
  <si>
    <t>Номер БС (ОЧ)</t>
  </si>
  <si>
    <t>Адрес (ОЧ)</t>
  </si>
  <si>
    <t>ТУ</t>
  </si>
  <si>
    <t>Мощность кВт</t>
  </si>
  <si>
    <t>Точка присоединения (АВ)</t>
  </si>
  <si>
    <t>Выпрямитель</t>
  </si>
  <si>
    <t>Huawei TP48200</t>
  </si>
  <si>
    <t>Диапазон</t>
  </si>
  <si>
    <t>Мартынюк</t>
  </si>
  <si>
    <t>78-04772</t>
  </si>
  <si>
    <t>Ленинградская обл, Тосненский р-н, Новолисино д, 0.04 км северо-восточнее з/у 7а, столб ООО "Русмаркет"</t>
  </si>
  <si>
    <t>LTE-2100</t>
  </si>
  <si>
    <t>ООО "Русмарткет"</t>
  </si>
  <si>
    <t>U2L4PX305.11P-DHH-E2-C (MTS 601)</t>
  </si>
  <si>
    <t>Не предусмотренно (комплектные крепления)</t>
  </si>
  <si>
    <t>78-6309</t>
  </si>
  <si>
    <t>Ленинградская обл, Тосненский р-н, в районе пересечения Павловского шоссе и улицы Дальней пгт Форносово (Любанское лесничество, Саблинское участковое лесничество, квартал 50, выдел 1), башня ООО "Линк Девелопмент"</t>
  </si>
  <si>
    <t>№78-1336 от 23.10.2023</t>
  </si>
  <si>
    <t>C16А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</si>
</sst>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charset val="204"/>
      <scheme val="minor"/>
    </font>
    <font>
      <b/>
      <sz val="18"/>
      <color theme="0" tint="-0.249977111117893"/>
      <name val="Calibri"/>
      <family val="2"/>
      <charset val="204"/>
      <scheme val="minor"/>
    </font>
    <font>
      <sz val="8"/>
      <name val="Calibri"/>
      <family val="2"/>
      <scheme val="minor"/>
    </font>
    <font>
      <sz val="1"/>
      <color theme="0" tint="-4.9989318521683403E-2"/>
      <name val="Calibri"/>
      <family val="2"/>
      <scheme val="minor"/>
    </font>
    <font>
      <b/>
      <sz val="11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0" tint="-0.24994659260841701"/>
      </bottom>
      <diagonal/>
    </border>
    <border>
      <left/>
      <right/>
      <top style="medium">
        <color theme="0" tint="-0.14990691854609822"/>
      </top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3" borderId="0" xfId="0" applyFill="1"/>
    <xf numFmtId="0" fontId="3" fillId="3" borderId="0" xfId="0" applyFont="1" applyFill="1" applyAlignment="1">
      <alignment horizontal="left"/>
    </xf>
    <xf numFmtId="0" fontId="2" fillId="2" borderId="1" xfId="0" applyFont="1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3" borderId="0" xfId="0" applyFont="1" applyFill="1" applyAlignment="1">
      <alignment horizontal="left" vertical="top"/>
    </xf>
    <xf numFmtId="0" fontId="0" fillId="3" borderId="2" xfId="0" applyFill="1" applyBorder="1" applyAlignment="1" applyProtection="1">
      <alignment vertical="center"/>
      <protection hidden="1"/>
    </xf>
    <xf numFmtId="0" fontId="7" fillId="3" borderId="0" xfId="0" applyFont="1" applyFill="1" applyAlignment="1">
      <alignment horizontal="right"/>
    </xf>
    <xf numFmtId="0" fontId="8" fillId="3" borderId="0" xfId="0" applyFont="1" applyFill="1" applyAlignment="1">
      <alignment horizontal="center"/>
    </xf>
    <xf numFmtId="0" fontId="0" fillId="3" borderId="3" xfId="0" applyFill="1" applyBorder="1" applyAlignment="1" applyProtection="1">
      <alignment vertical="center"/>
      <protection hidden="1"/>
    </xf>
    <xf numFmtId="0" fontId="1" fillId="2" borderId="1" xfId="0" applyFont="1" applyFill="1" applyBorder="1" applyAlignment="1">
      <alignment horizontal="left"/>
    </xf>
    <xf numFmtId="0" fontId="9" fillId="3" borderId="0" xfId="0" applyFont="1" applyFill="1" applyAlignment="1">
      <alignment horizontal="left" vertical="top"/>
    </xf>
    <xf numFmtId="0" fontId="0" fillId="3" borderId="0" xfId="0" applyFill="1" applyAlignment="1" applyProtection="1">
      <alignment vertical="center"/>
      <protection hidden="1"/>
    </xf>
    <xf numFmtId="0" fontId="1" fillId="2" borderId="1" xfId="0" applyFont="1" applyFill="1" applyBorder="1" applyAlignment="1">
      <alignment horizontal="left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B19" lockText="1"/>
</file>

<file path=xl/ctrlProps/ctrlProp2.xml><?xml version="1.0" encoding="utf-8"?>
<formControlPr xmlns="http://schemas.microsoft.com/office/spreadsheetml/2009/9/main" objectType="CheckBox" fmlaLink="B20" lockText="1"/>
</file>

<file path=xl/ctrlProps/ctrlProp3.xml><?xml version="1.0" encoding="utf-8"?>
<formControlPr xmlns="http://schemas.microsoft.com/office/spreadsheetml/2009/9/main" objectType="CheckBox" fmlaLink="B21" lockText="1"/>
</file>

<file path=xl/ctrlProps/ctrlProp4.xml><?xml version="1.0" encoding="utf-8"?>
<formControlPr xmlns="http://schemas.microsoft.com/office/spreadsheetml/2009/9/main" objectType="CheckBox" fmlaLink="B22" lockText="1"/>
</file>

<file path=xl/ctrlProps/ctrlProp5.xml><?xml version="1.0" encoding="utf-8"?>
<formControlPr xmlns="http://schemas.microsoft.com/office/spreadsheetml/2009/9/main" objectType="CheckBox" fmlaLink="B23" lockText="1"/>
</file>

<file path=xl/ctrlProps/ctrlProp6.xml><?xml version="1.0" encoding="utf-8"?>
<formControlPr xmlns="http://schemas.microsoft.com/office/spreadsheetml/2009/9/main" objectType="CheckBox" fmlaLink="B24" lockText="1"/>
</file>

<file path=xl/ctrlProps/ctrlProp7.xml><?xml version="1.0" encoding="utf-8"?>
<formControlPr xmlns="http://schemas.microsoft.com/office/spreadsheetml/2009/9/main" objectType="CheckBox" fmlaLink="B25" lockText="1"/>
</file>

<file path=xl/ctrlProps/ctrlProp8.xml><?xml version="1.0" encoding="utf-8"?>
<formControlPr xmlns="http://schemas.microsoft.com/office/spreadsheetml/2009/9/main" objectType="CheckBox" fmlaLink="B26" lockText="1"/>
</file>

<file path=xl/ctrlProps/ctrlProp9.xml><?xml version="1.0" encoding="utf-8"?>
<formControlPr xmlns="http://schemas.microsoft.com/office/spreadsheetml/2009/9/main" objectType="CheckBox" fmlaLink="B27" lockText="1"/>
</file>

<file path=xl/ctrlProps/ctrlProp10.xml><?xml version="1.0" encoding="utf-8"?>
<formControlPr xmlns="http://schemas.microsoft.com/office/spreadsheetml/2009/9/main" objectType="CheckBox" fmlaLink="B28" lockText="1"/>
</file>

<file path=xl/ctrlProps/ctrlProp11.xml><?xml version="1.0" encoding="utf-8"?>
<formControlPr xmlns="http://schemas.microsoft.com/office/spreadsheetml/2009/9/main" objectType="CheckBox" checked="Checked" fmlaLink="B41" lockText="1"/>
</file>

<file path=xl/ctrlProps/ctrlProp12.xml><?xml version="1.0" encoding="utf-8"?>
<formControlPr xmlns="http://schemas.microsoft.com/office/spreadsheetml/2009/9/main" objectType="CheckBox" checked="Checked" fmlaLink="B42" lockText="1"/>
</file>

<file path=xl/ctrlProps/ctrlProp13.xml><?xml version="1.0" encoding="utf-8"?>
<formControlPr xmlns="http://schemas.microsoft.com/office/spreadsheetml/2009/9/main" objectType="CheckBox" checked="Checked" fmlaLink="B43" lockText="1"/>
</file>

<file path=xl/ctrlProps/ctrlProp14.xml><?xml version="1.0" encoding="utf-8"?>
<formControlPr xmlns="http://schemas.microsoft.com/office/spreadsheetml/2009/9/main" objectType="CheckBox" checked="Checked" fmlaLink="B44" lockText="1"/>
</file>

<file path=xl/ctrlProps/ctrlProp15.xml><?xml version="1.0" encoding="utf-8"?>
<formControlPr xmlns="http://schemas.microsoft.com/office/spreadsheetml/2009/9/main" objectType="CheckBox" checked="Checked" fmlaLink="B45" lockText="1"/>
</file>

<file path=xl/ctrlProps/ctrlProp16.xml><?xml version="1.0" encoding="utf-8"?>
<formControlPr xmlns="http://schemas.microsoft.com/office/spreadsheetml/2009/9/main" objectType="CheckBox" checked="Checked" fmlaLink="B46" lockText="1"/>
</file>

<file path=xl/ctrlProps/ctrlProp17.xml><?xml version="1.0" encoding="utf-8"?>
<formControlPr xmlns="http://schemas.microsoft.com/office/spreadsheetml/2009/9/main" objectType="CheckBox" checked="Checked" fmlaLink="B47" lockText="1"/>
</file>

<file path=xl/ctrlProps/ctrlProp18.xml><?xml version="1.0" encoding="utf-8"?>
<formControlPr xmlns="http://schemas.microsoft.com/office/spreadsheetml/2009/9/main" objectType="CheckBox" fmlaLink="B40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17</xdr:row>
          <xdr:rowOff>152400</xdr:rowOff>
        </xdr:from>
        <xdr:to>
          <xdr:col>2</xdr:col>
          <xdr:colOff>76200</xdr:colOff>
          <xdr:row>19</xdr:row>
          <xdr:rowOff>30480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18</xdr:row>
          <xdr:rowOff>152400</xdr:rowOff>
        </xdr:from>
        <xdr:to>
          <xdr:col>2</xdr:col>
          <xdr:colOff>76200</xdr:colOff>
          <xdr:row>20</xdr:row>
          <xdr:rowOff>30480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19</xdr:row>
          <xdr:rowOff>152400</xdr:rowOff>
        </xdr:from>
        <xdr:to>
          <xdr:col>2</xdr:col>
          <xdr:colOff>76200</xdr:colOff>
          <xdr:row>21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20</xdr:row>
          <xdr:rowOff>152400</xdr:rowOff>
        </xdr:from>
        <xdr:to>
          <xdr:col>2</xdr:col>
          <xdr:colOff>76200</xdr:colOff>
          <xdr:row>22</xdr:row>
          <xdr:rowOff>30480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21</xdr:row>
          <xdr:rowOff>152400</xdr:rowOff>
        </xdr:from>
        <xdr:to>
          <xdr:col>2</xdr:col>
          <xdr:colOff>76200</xdr:colOff>
          <xdr:row>23</xdr:row>
          <xdr:rowOff>30480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22</xdr:row>
          <xdr:rowOff>152400</xdr:rowOff>
        </xdr:from>
        <xdr:to>
          <xdr:col>2</xdr:col>
          <xdr:colOff>76200</xdr:colOff>
          <xdr:row>24</xdr:row>
          <xdr:rowOff>30480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23</xdr:row>
          <xdr:rowOff>152400</xdr:rowOff>
        </xdr:from>
        <xdr:to>
          <xdr:col>2</xdr:col>
          <xdr:colOff>76200</xdr:colOff>
          <xdr:row>25</xdr:row>
          <xdr:rowOff>30480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24</xdr:row>
          <xdr:rowOff>152400</xdr:rowOff>
        </xdr:from>
        <xdr:to>
          <xdr:col>2</xdr:col>
          <xdr:colOff>76200</xdr:colOff>
          <xdr:row>26</xdr:row>
          <xdr:rowOff>30480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25</xdr:row>
          <xdr:rowOff>152400</xdr:rowOff>
        </xdr:from>
        <xdr:to>
          <xdr:col>2</xdr:col>
          <xdr:colOff>76200</xdr:colOff>
          <xdr:row>27</xdr:row>
          <xdr:rowOff>30480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26</xdr:row>
          <xdr:rowOff>152400</xdr:rowOff>
        </xdr:from>
        <xdr:to>
          <xdr:col>2</xdr:col>
          <xdr:colOff>76200</xdr:colOff>
          <xdr:row>28</xdr:row>
          <xdr:rowOff>30480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39</xdr:row>
          <xdr:rowOff>152400</xdr:rowOff>
        </xdr:from>
        <xdr:to>
          <xdr:col>2</xdr:col>
          <xdr:colOff>76200</xdr:colOff>
          <xdr:row>41</xdr:row>
          <xdr:rowOff>45720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40</xdr:row>
          <xdr:rowOff>152400</xdr:rowOff>
        </xdr:from>
        <xdr:to>
          <xdr:col>2</xdr:col>
          <xdr:colOff>76200</xdr:colOff>
          <xdr:row>42</xdr:row>
          <xdr:rowOff>45720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41</xdr:row>
          <xdr:rowOff>152400</xdr:rowOff>
        </xdr:from>
        <xdr:to>
          <xdr:col>2</xdr:col>
          <xdr:colOff>76200</xdr:colOff>
          <xdr:row>43</xdr:row>
          <xdr:rowOff>45720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42</xdr:row>
          <xdr:rowOff>152400</xdr:rowOff>
        </xdr:from>
        <xdr:to>
          <xdr:col>2</xdr:col>
          <xdr:colOff>76200</xdr:colOff>
          <xdr:row>44</xdr:row>
          <xdr:rowOff>45720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43</xdr:row>
          <xdr:rowOff>152400</xdr:rowOff>
        </xdr:from>
        <xdr:to>
          <xdr:col>2</xdr:col>
          <xdr:colOff>76200</xdr:colOff>
          <xdr:row>45</xdr:row>
          <xdr:rowOff>45720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44</xdr:row>
          <xdr:rowOff>152400</xdr:rowOff>
        </xdr:from>
        <xdr:to>
          <xdr:col>2</xdr:col>
          <xdr:colOff>76200</xdr:colOff>
          <xdr:row>46</xdr:row>
          <xdr:rowOff>45720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45</xdr:row>
          <xdr:rowOff>152400</xdr:rowOff>
        </xdr:from>
        <xdr:to>
          <xdr:col>2</xdr:col>
          <xdr:colOff>76200</xdr:colOff>
          <xdr:row>47</xdr:row>
          <xdr:rowOff>45720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38</xdr:row>
          <xdr:rowOff>266700</xdr:rowOff>
        </xdr:from>
        <xdr:to>
          <xdr:col>2</xdr:col>
          <xdr:colOff>76200</xdr:colOff>
          <xdr:row>40</xdr:row>
          <xdr:rowOff>60960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4707017</xdr:colOff>
          <xdr:row>2</xdr:row>
          <xdr:rowOff>26194</xdr:rowOff>
        </xdr:from>
        <xdr:to>
          <xdr:col>3</xdr:col>
          <xdr:colOff>10239</xdr:colOff>
          <xdr:row>2</xdr:row>
          <xdr:rowOff>247174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80"/>
  <sheetViews>
    <sheetView tabSelected="1" topLeftCell="A12" zoomScale="128" zoomScaleNormal="178" workbookViewId="0">
      <selection activeCell="C38" sqref="C38"/>
    </sheetView>
  </sheetViews>
  <sheetFormatPr defaultColWidth="0" defaultRowHeight="14.4" zeroHeight="1" x14ac:dyDescent="0.3"/>
  <cols>
    <col min="1" max="1" width="23.33203125" style="1" customWidth="1"/>
    <col min="2" max="2" width="8.88671875" style="1" customWidth="1"/>
    <col min="3" max="3" width="76" style="1" customWidth="1"/>
    <col min="4" max="5" width="8.88671875" style="1" customWidth="1"/>
    <col min="6" max="16384" width="8.88671875" style="1" hidden="1"/>
  </cols>
  <sheetData>
    <row r="1" spans="2:4" x14ac:dyDescent="0.3"/>
    <row r="2" spans="2:4" x14ac:dyDescent="0.3">
      <c r="B2" s="2"/>
      <c r="C2" s="2"/>
      <c r="D2" s="2"/>
    </row>
    <row r="3" spans="2:4" ht="23.4" x14ac:dyDescent="0.3">
      <c r="B3" s="2"/>
      <c r="C3" s="6" t="s">
        <v>2</v>
      </c>
      <c r="D3" s="2"/>
    </row>
    <row r="4" spans="2:4" x14ac:dyDescent="0.3">
      <c r="B4" s="2"/>
      <c r="C4" s="5" t="s">
        <v>12</v>
      </c>
      <c r="D4" s="2"/>
    </row>
    <row r="5" spans="2:4" ht="16.2" thickBot="1" x14ac:dyDescent="0.35">
      <c r="B5" s="2"/>
      <c r="C5" s="11">
        <v>2023</v>
      </c>
      <c r="D5" s="2"/>
    </row>
    <row r="6" spans="2:4" ht="15" thickTop="1" x14ac:dyDescent="0.3">
      <c r="B6" s="2"/>
      <c r="C6" s="5"/>
      <c r="D6" s="2"/>
    </row>
    <row r="7" spans="2:4" x14ac:dyDescent="0.3">
      <c r="B7" s="2"/>
      <c r="C7" s="5" t="s">
        <v>17</v>
      </c>
      <c r="D7" s="2"/>
    </row>
    <row r="8" spans="2:4" ht="16.2" thickBot="1" x14ac:dyDescent="0.35">
      <c r="B8" s="2"/>
      <c r="C8" s="11" t="s">
        <v>18</v>
      </c>
      <c r="D8" s="2"/>
    </row>
    <row r="9" spans="2:4" ht="15" thickTop="1" x14ac:dyDescent="0.3">
      <c r="B9" s="2"/>
      <c r="C9" s="12"/>
      <c r="D9" s="2"/>
    </row>
    <row r="10" spans="2:4" x14ac:dyDescent="0.3">
      <c r="B10" s="2"/>
      <c r="C10" s="5" t="s">
        <v>0</v>
      </c>
      <c r="D10" s="2"/>
    </row>
    <row r="11" spans="2:4" ht="16.2" thickBot="1" x14ac:dyDescent="0.35">
      <c r="B11" s="2"/>
      <c r="C11" s="11" t="s">
        <v>42</v>
      </c>
      <c r="D11" s="2"/>
    </row>
    <row r="12" spans="2:4" ht="15" thickTop="1" x14ac:dyDescent="0.3">
      <c r="B12" s="2"/>
      <c r="C12" s="2"/>
      <c r="D12" s="2"/>
    </row>
    <row r="13" spans="2:4" x14ac:dyDescent="0.3">
      <c r="B13" s="2"/>
      <c r="C13" s="3" t="s">
        <v>1</v>
      </c>
      <c r="D13" s="2"/>
    </row>
    <row r="14" spans="2:4" ht="31.8" thickBot="1" x14ac:dyDescent="0.35">
      <c r="B14" s="2"/>
      <c r="C14" s="14" t="s">
        <v>43</v>
      </c>
      <c r="D14" s="2"/>
    </row>
    <row r="15" spans="2:4" ht="15" thickTop="1" x14ac:dyDescent="0.3">
      <c r="B15" s="2"/>
      <c r="C15" s="2"/>
      <c r="D15" s="2"/>
    </row>
    <row r="16" spans="2:4" x14ac:dyDescent="0.3">
      <c r="B16" s="2"/>
      <c r="C16" s="3" t="s">
        <v>40</v>
      </c>
      <c r="D16" s="2"/>
    </row>
    <row r="17" spans="2:7" x14ac:dyDescent="0.3">
      <c r="B17" s="2"/>
      <c r="C17" s="9" t="str">
        <f xml:space="preserve"> IF(B19=TRUE,C19,"")
&amp;IF(AND(B19,B20),"/","")
&amp;IF(B20=TRUE,C20,"")
&amp;IF(AND(OR(B19:B20),B21),"/","")
&amp;IF(B21=TRUE,C21,"")
&amp;IF(AND(OR(B19:B21),B22),"/","")
&amp;IF(B22=TRUE,C22,"")
&amp;IF(AND(OR(B19:B22),B23),"/","")
&amp;IF(B23=TRUE,C23,"")
&amp;IF(AND(OR(B19:B23),B24),"/","")
&amp;IF(B24=TRUE,C24,"")
&amp;IF(AND(OR(B19:B24),B25),"/","")
&amp;IF(B25=TRUE,C25,"")
&amp;IF(AND(OR(B19:B25),B26),"/","")
&amp;IF(B26=TRUE,C26,"")
&amp;IF(AND(OR(B19:B26),B27),"/","")
&amp;IF(B27=TRUE,C27,"")
&amp;IF(AND(OR(B19:B27),B28),"/","")
&amp;IF(B28=TRUE,C28,"")</f>
        <v/>
      </c>
      <c r="D17" s="2"/>
    </row>
    <row r="18" spans="2:7" ht="15" thickBot="1" x14ac:dyDescent="0.35">
      <c r="B18" s="2"/>
      <c r="C18" s="9" t="str">
        <f xml:space="preserve"> IF(B19=TRUE,"G","")
&amp;IF(AND(B19,B20),"/","")
&amp;IF(B20=TRUE,"D","")
&amp;IF(AND(OR(B19:B20),B21),"/","")
&amp;IF(B21=TRUE,"U9","")
&amp;IF(AND(OR(B19:B21),B22),"/","")
&amp;IF(B22=TRUE,"U21","")
&amp;IF(AND(OR(B19:B22),B23),"/","")
&amp;IF(B23=TRUE,"L8","")
&amp;IF(AND(OR(B19:B23),B24),"/","")
&amp;IF(B24=TRUE,"L9","")
&amp;IF(AND(OR(B19:B24),B25),"/","")
&amp;IF(B25=TRUE,"L18","")
&amp;IF(AND(OR(B19:B25),B26),"/","")
&amp;IF(B26=TRUE,"L21","")
&amp;IF(AND(OR(B19:B26),B27),"/","")
&amp;IF(B27=TRUE,"L26","")
&amp;IF(AND(OR(B19:B27),B28),"/","")
&amp;IF(B28=TRUE,"L26T","")</f>
        <v/>
      </c>
      <c r="D18" s="2"/>
    </row>
    <row r="19" spans="2:7" ht="15" thickBot="1" x14ac:dyDescent="0.35">
      <c r="B19" s="8" t="b">
        <v>0</v>
      </c>
      <c r="C19" s="10" t="s">
        <v>3</v>
      </c>
      <c r="D19" s="2"/>
      <c r="F19" s="7"/>
      <c r="G19" s="7"/>
    </row>
    <row r="20" spans="2:7" ht="15" thickBot="1" x14ac:dyDescent="0.35">
      <c r="B20" s="8" t="b">
        <v>0</v>
      </c>
      <c r="C20" s="7" t="s">
        <v>4</v>
      </c>
      <c r="D20" s="2"/>
    </row>
    <row r="21" spans="2:7" ht="15" thickBot="1" x14ac:dyDescent="0.35">
      <c r="B21" s="8" t="b">
        <v>0</v>
      </c>
      <c r="C21" s="7" t="s">
        <v>11</v>
      </c>
      <c r="D21" s="2"/>
    </row>
    <row r="22" spans="2:7" ht="15" thickBot="1" x14ac:dyDescent="0.35">
      <c r="B22" s="8" t="b">
        <v>0</v>
      </c>
      <c r="C22" s="7" t="s">
        <v>5</v>
      </c>
      <c r="D22" s="2"/>
    </row>
    <row r="23" spans="2:7" ht="15" thickBot="1" x14ac:dyDescent="0.35">
      <c r="B23" s="8" t="b">
        <v>0</v>
      </c>
      <c r="C23" s="7" t="s">
        <v>9</v>
      </c>
      <c r="D23" s="2"/>
    </row>
    <row r="24" spans="2:7" ht="15" thickBot="1" x14ac:dyDescent="0.35">
      <c r="B24" s="8" t="b">
        <v>0</v>
      </c>
      <c r="C24" s="7" t="s">
        <v>10</v>
      </c>
      <c r="D24" s="2"/>
    </row>
    <row r="25" spans="2:7" ht="15" thickBot="1" x14ac:dyDescent="0.35">
      <c r="B25" s="8" t="b">
        <v>0</v>
      </c>
      <c r="C25" s="7" t="s">
        <v>6</v>
      </c>
      <c r="D25" s="2"/>
    </row>
    <row r="26" spans="2:7" ht="15" thickBot="1" x14ac:dyDescent="0.35">
      <c r="B26" s="8" t="b">
        <v>0</v>
      </c>
      <c r="C26" s="7" t="s">
        <v>44</v>
      </c>
      <c r="D26" s="2"/>
    </row>
    <row r="27" spans="2:7" ht="15" thickBot="1" x14ac:dyDescent="0.35">
      <c r="B27" s="8" t="b">
        <v>0</v>
      </c>
      <c r="C27" s="7" t="s">
        <v>7</v>
      </c>
      <c r="D27" s="2"/>
    </row>
    <row r="28" spans="2:7" ht="15" thickBot="1" x14ac:dyDescent="0.35">
      <c r="B28" s="8" t="b">
        <v>0</v>
      </c>
      <c r="C28" s="7" t="s">
        <v>8</v>
      </c>
      <c r="D28" s="2"/>
    </row>
    <row r="29" spans="2:7" x14ac:dyDescent="0.3">
      <c r="B29" s="2"/>
      <c r="C29" s="2"/>
      <c r="D29" s="2"/>
    </row>
    <row r="30" spans="2:7" x14ac:dyDescent="0.3">
      <c r="B30" s="2"/>
      <c r="C30" s="3" t="s">
        <v>13</v>
      </c>
      <c r="D30" s="2"/>
    </row>
    <row r="31" spans="2:7" ht="18.600000000000001" thickBot="1" x14ac:dyDescent="0.4">
      <c r="B31" s="2"/>
      <c r="C31" s="4" t="s">
        <v>15</v>
      </c>
      <c r="D31" s="2"/>
    </row>
    <row r="32" spans="2:7" ht="15" thickTop="1" x14ac:dyDescent="0.3">
      <c r="B32" s="2"/>
      <c r="C32" s="2"/>
      <c r="D32" s="2"/>
    </row>
    <row r="33" spans="2:4" x14ac:dyDescent="0.3">
      <c r="B33" s="2"/>
      <c r="C33" s="3" t="s">
        <v>14</v>
      </c>
      <c r="D33" s="2"/>
    </row>
    <row r="34" spans="2:4" ht="18.600000000000001" thickBot="1" x14ac:dyDescent="0.4">
      <c r="B34" s="2"/>
      <c r="C34" s="4" t="s">
        <v>45</v>
      </c>
      <c r="D34" s="2"/>
    </row>
    <row r="35" spans="2:4" ht="15" thickTop="1" x14ac:dyDescent="0.3">
      <c r="B35" s="2"/>
      <c r="C35" s="2"/>
      <c r="D35" s="2"/>
    </row>
    <row r="36" spans="2:4" x14ac:dyDescent="0.3">
      <c r="B36" s="2"/>
      <c r="C36" s="3" t="s">
        <v>31</v>
      </c>
      <c r="D36" s="2"/>
    </row>
    <row r="37" spans="2:4" ht="18.600000000000001" thickBot="1" x14ac:dyDescent="0.4">
      <c r="B37" s="2"/>
      <c r="C37" s="4" t="s">
        <v>41</v>
      </c>
      <c r="D37" s="2"/>
    </row>
    <row r="38" spans="2:4" ht="15" thickTop="1" x14ac:dyDescent="0.3">
      <c r="B38" s="2"/>
      <c r="C38" s="2"/>
      <c r="D38" s="2"/>
    </row>
    <row r="39" spans="2:4" ht="23.4" x14ac:dyDescent="0.3">
      <c r="B39" s="2"/>
      <c r="C39" s="6" t="s">
        <v>16</v>
      </c>
      <c r="D39" s="2"/>
    </row>
    <row r="40" spans="2:4" ht="15" thickBot="1" x14ac:dyDescent="0.35">
      <c r="B40" s="8" t="b">
        <v>0</v>
      </c>
      <c r="C40" s="10" t="s">
        <v>19</v>
      </c>
      <c r="D40" s="2"/>
    </row>
    <row r="41" spans="2:4" ht="15" thickBot="1" x14ac:dyDescent="0.35">
      <c r="B41" s="8" t="b">
        <v>1</v>
      </c>
      <c r="C41" s="7" t="s">
        <v>20</v>
      </c>
      <c r="D41" s="2"/>
    </row>
    <row r="42" spans="2:4" ht="15" thickBot="1" x14ac:dyDescent="0.35">
      <c r="B42" s="8" t="b">
        <v>1</v>
      </c>
      <c r="C42" s="7" t="s">
        <v>21</v>
      </c>
      <c r="D42" s="2"/>
    </row>
    <row r="43" spans="2:4" ht="15" thickBot="1" x14ac:dyDescent="0.35">
      <c r="B43" s="8" t="b">
        <v>1</v>
      </c>
      <c r="C43" s="7" t="s">
        <v>22</v>
      </c>
      <c r="D43" s="2"/>
    </row>
    <row r="44" spans="2:4" ht="15" thickBot="1" x14ac:dyDescent="0.35">
      <c r="B44" s="8" t="b">
        <v>1</v>
      </c>
      <c r="C44" s="7" t="s">
        <v>23</v>
      </c>
      <c r="D44" s="2"/>
    </row>
    <row r="45" spans="2:4" ht="15" thickBot="1" x14ac:dyDescent="0.35">
      <c r="B45" s="8" t="b">
        <v>1</v>
      </c>
      <c r="C45" s="7" t="s">
        <v>24</v>
      </c>
      <c r="D45" s="2"/>
    </row>
    <row r="46" spans="2:4" ht="15" thickBot="1" x14ac:dyDescent="0.35">
      <c r="B46" s="8" t="b">
        <v>1</v>
      </c>
      <c r="C46" s="7" t="s">
        <v>25</v>
      </c>
      <c r="D46" s="2"/>
    </row>
    <row r="47" spans="2:4" ht="15" thickBot="1" x14ac:dyDescent="0.35">
      <c r="B47" s="8" t="b">
        <v>1</v>
      </c>
      <c r="C47" s="7" t="s">
        <v>26</v>
      </c>
      <c r="D47" s="2"/>
    </row>
    <row r="48" spans="2:4" x14ac:dyDescent="0.3">
      <c r="B48" s="8"/>
      <c r="C48" s="13"/>
      <c r="D48" s="2"/>
    </row>
    <row r="49" spans="2:4" ht="23.4" x14ac:dyDescent="0.3">
      <c r="B49" s="8"/>
      <c r="C49" s="6" t="s">
        <v>27</v>
      </c>
      <c r="D49" s="2"/>
    </row>
    <row r="50" spans="2:4" x14ac:dyDescent="0.3">
      <c r="B50" s="8"/>
      <c r="C50" s="3" t="s">
        <v>28</v>
      </c>
      <c r="D50" s="2"/>
    </row>
    <row r="51" spans="2:4" ht="18.600000000000001" thickBot="1" x14ac:dyDescent="0.4">
      <c r="B51" s="8"/>
      <c r="C51" s="4" t="s">
        <v>46</v>
      </c>
      <c r="D51" s="2"/>
    </row>
    <row r="52" spans="2:4" ht="15" thickTop="1" x14ac:dyDescent="0.3">
      <c r="B52" s="8"/>
      <c r="C52" s="13"/>
      <c r="D52" s="2"/>
    </row>
    <row r="53" spans="2:4" x14ac:dyDescent="0.3">
      <c r="B53" s="8"/>
      <c r="C53" s="3" t="s">
        <v>29</v>
      </c>
      <c r="D53" s="2"/>
    </row>
    <row r="54" spans="2:4" ht="18.600000000000001" thickBot="1" x14ac:dyDescent="0.4">
      <c r="B54" s="8"/>
      <c r="C54" s="4" t="s">
        <v>30</v>
      </c>
      <c r="D54" s="2"/>
    </row>
    <row r="55" spans="2:4" ht="15" thickTop="1" x14ac:dyDescent="0.3">
      <c r="B55" s="8"/>
      <c r="C55" s="13"/>
      <c r="D55" s="2"/>
    </row>
    <row r="56" spans="2:4" ht="23.4" x14ac:dyDescent="0.3">
      <c r="B56" s="8"/>
      <c r="C56" s="6" t="s">
        <v>23</v>
      </c>
      <c r="D56" s="2"/>
    </row>
    <row r="57" spans="2:4" x14ac:dyDescent="0.3">
      <c r="B57" s="8"/>
      <c r="C57" s="3" t="s">
        <v>32</v>
      </c>
      <c r="D57" s="2"/>
    </row>
    <row r="58" spans="2:4" ht="18.600000000000001" thickBot="1" x14ac:dyDescent="0.4">
      <c r="B58" s="8"/>
      <c r="C58" s="4" t="s">
        <v>47</v>
      </c>
      <c r="D58" s="2"/>
    </row>
    <row r="59" spans="2:4" ht="15" thickTop="1" x14ac:dyDescent="0.3">
      <c r="B59" s="8"/>
      <c r="C59" s="13"/>
      <c r="D59" s="2"/>
    </row>
    <row r="60" spans="2:4" ht="23.4" x14ac:dyDescent="0.3">
      <c r="B60" s="8"/>
      <c r="C60" s="6" t="s">
        <v>25</v>
      </c>
      <c r="D60" s="2"/>
    </row>
    <row r="61" spans="2:4" x14ac:dyDescent="0.3">
      <c r="B61" s="8"/>
      <c r="C61" s="5" t="s">
        <v>33</v>
      </c>
      <c r="D61" s="2"/>
    </row>
    <row r="62" spans="2:4" ht="16.2" thickBot="1" x14ac:dyDescent="0.35">
      <c r="B62" s="8"/>
      <c r="C62" s="11" t="s">
        <v>48</v>
      </c>
      <c r="D62" s="2"/>
    </row>
    <row r="63" spans="2:4" ht="15" thickTop="1" x14ac:dyDescent="0.3">
      <c r="B63" s="8"/>
      <c r="C63" s="2"/>
      <c r="D63" s="2"/>
    </row>
    <row r="64" spans="2:4" x14ac:dyDescent="0.3">
      <c r="B64" s="8"/>
      <c r="C64" s="3" t="s">
        <v>34</v>
      </c>
      <c r="D64" s="2"/>
    </row>
    <row r="65" spans="2:4" ht="47.4" thickBot="1" x14ac:dyDescent="0.35">
      <c r="B65" s="8"/>
      <c r="C65" s="14" t="s">
        <v>49</v>
      </c>
      <c r="D65" s="2"/>
    </row>
    <row r="66" spans="2:4" ht="15" thickTop="1" x14ac:dyDescent="0.3">
      <c r="B66" s="8"/>
      <c r="C66" s="13"/>
      <c r="D66" s="2"/>
    </row>
    <row r="67" spans="2:4" ht="23.4" x14ac:dyDescent="0.3">
      <c r="B67" s="8"/>
      <c r="C67" s="6" t="s">
        <v>26</v>
      </c>
      <c r="D67" s="2"/>
    </row>
    <row r="68" spans="2:4" x14ac:dyDescent="0.3">
      <c r="B68" s="8"/>
      <c r="C68" s="5" t="s">
        <v>35</v>
      </c>
      <c r="D68" s="2"/>
    </row>
    <row r="69" spans="2:4" ht="16.2" thickBot="1" x14ac:dyDescent="0.35">
      <c r="B69" s="8"/>
      <c r="C69" s="11" t="s">
        <v>50</v>
      </c>
      <c r="D69" s="2"/>
    </row>
    <row r="70" spans="2:4" ht="15" thickTop="1" x14ac:dyDescent="0.3">
      <c r="B70" s="8"/>
      <c r="C70" s="5"/>
      <c r="D70" s="2"/>
    </row>
    <row r="71" spans="2:4" x14ac:dyDescent="0.3">
      <c r="B71" s="8"/>
      <c r="C71" s="5" t="s">
        <v>36</v>
      </c>
      <c r="D71" s="2"/>
    </row>
    <row r="72" spans="2:4" ht="16.2" thickBot="1" x14ac:dyDescent="0.35">
      <c r="B72" s="8"/>
      <c r="C72" s="11">
        <v>5</v>
      </c>
      <c r="D72" s="2"/>
    </row>
    <row r="73" spans="2:4" ht="15" thickTop="1" x14ac:dyDescent="0.3">
      <c r="B73" s="8"/>
      <c r="C73" s="13"/>
      <c r="D73" s="2"/>
    </row>
    <row r="74" spans="2:4" x14ac:dyDescent="0.3">
      <c r="B74" s="8"/>
      <c r="C74" s="5" t="s">
        <v>37</v>
      </c>
      <c r="D74" s="2"/>
    </row>
    <row r="75" spans="2:4" ht="16.2" thickBot="1" x14ac:dyDescent="0.35">
      <c r="B75" s="2"/>
      <c r="C75" s="11" t="s">
        <v>51</v>
      </c>
      <c r="D75" s="2"/>
    </row>
    <row r="76" spans="2:4" ht="15" thickTop="1" x14ac:dyDescent="0.3">
      <c r="B76" s="2"/>
      <c r="C76" s="2"/>
      <c r="D76" s="2"/>
    </row>
    <row r="77" spans="2:4" x14ac:dyDescent="0.3">
      <c r="B77" s="2"/>
      <c r="C77" s="5" t="s">
        <v>38</v>
      </c>
      <c r="D77" s="2"/>
    </row>
    <row r="78" spans="2:4" ht="16.2" thickBot="1" x14ac:dyDescent="0.35">
      <c r="B78" s="2"/>
      <c r="C78" s="11" t="s">
        <v>39</v>
      </c>
      <c r="D78" s="2"/>
    </row>
    <row r="79" spans="2:4" ht="15" thickTop="1" x14ac:dyDescent="0.3">
      <c r="B79" s="2"/>
      <c r="C79" s="2"/>
      <c r="D79" s="2"/>
    </row>
    <row r="80" spans="2:4" x14ac:dyDescent="0.3"/>
  </sheetData>
  <phoneticPr fontId="6" type="noConversion"/>
  <dataValidations disablePrompts="1" count="1">
    <dataValidation type="list" allowBlank="1" showInputMessage="1" showErrorMessage="1" sqref="C8" xr:uid="{9238641D-3642-4D9E-87A4-C94E89056D55}">
      <formula1>"Строительство,Модернизация"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17</xdr:row>
                    <xdr:rowOff>152400</xdr:rowOff>
                  </from>
                  <to>
                    <xdr:col>2</xdr:col>
                    <xdr:colOff>76200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18</xdr:row>
                    <xdr:rowOff>152400</xdr:rowOff>
                  </from>
                  <to>
                    <xdr:col>2</xdr:col>
                    <xdr:colOff>76200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19</xdr:row>
                    <xdr:rowOff>152400</xdr:rowOff>
                  </from>
                  <to>
                    <xdr:col>2</xdr:col>
                    <xdr:colOff>76200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20</xdr:row>
                    <xdr:rowOff>152400</xdr:rowOff>
                  </from>
                  <to>
                    <xdr:col>2</xdr:col>
                    <xdr:colOff>76200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21</xdr:row>
                    <xdr:rowOff>152400</xdr:rowOff>
                  </from>
                  <to>
                    <xdr:col>2</xdr:col>
                    <xdr:colOff>76200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22</xdr:row>
                    <xdr:rowOff>152400</xdr:rowOff>
                  </from>
                  <to>
                    <xdr:col>2</xdr:col>
                    <xdr:colOff>76200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23</xdr:row>
                    <xdr:rowOff>152400</xdr:rowOff>
                  </from>
                  <to>
                    <xdr:col>2</xdr:col>
                    <xdr:colOff>76200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 Box 10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24</xdr:row>
                    <xdr:rowOff>152400</xdr:rowOff>
                  </from>
                  <to>
                    <xdr:col>2</xdr:col>
                    <xdr:colOff>76200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25</xdr:row>
                    <xdr:rowOff>152400</xdr:rowOff>
                  </from>
                  <to>
                    <xdr:col>2</xdr:col>
                    <xdr:colOff>76200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26</xdr:row>
                    <xdr:rowOff>152400</xdr:rowOff>
                  </from>
                  <to>
                    <xdr:col>2</xdr:col>
                    <xdr:colOff>76200</xdr:colOff>
                    <xdr:row>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39</xdr:row>
                    <xdr:rowOff>152400</xdr:rowOff>
                  </from>
                  <to>
                    <xdr:col>2</xdr:col>
                    <xdr:colOff>76200</xdr:colOff>
                    <xdr:row>41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40</xdr:row>
                    <xdr:rowOff>152400</xdr:rowOff>
                  </from>
                  <to>
                    <xdr:col>2</xdr:col>
                    <xdr:colOff>76200</xdr:colOff>
                    <xdr:row>42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41</xdr:row>
                    <xdr:rowOff>152400</xdr:rowOff>
                  </from>
                  <to>
                    <xdr:col>2</xdr:col>
                    <xdr:colOff>76200</xdr:colOff>
                    <xdr:row>43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42</xdr:row>
                    <xdr:rowOff>152400</xdr:rowOff>
                  </from>
                  <to>
                    <xdr:col>2</xdr:col>
                    <xdr:colOff>76200</xdr:colOff>
                    <xdr:row>44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43</xdr:row>
                    <xdr:rowOff>152400</xdr:rowOff>
                  </from>
                  <to>
                    <xdr:col>2</xdr:col>
                    <xdr:colOff>76200</xdr:colOff>
                    <xdr:row>45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44</xdr:row>
                    <xdr:rowOff>152400</xdr:rowOff>
                  </from>
                  <to>
                    <xdr:col>2</xdr:col>
                    <xdr:colOff>76200</xdr:colOff>
                    <xdr:row>46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Check Box 23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45</xdr:row>
                    <xdr:rowOff>152400</xdr:rowOff>
                  </from>
                  <to>
                    <xdr:col>2</xdr:col>
                    <xdr:colOff>76200</xdr:colOff>
                    <xdr:row>47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38</xdr:row>
                    <xdr:rowOff>266700</xdr:rowOff>
                  </from>
                  <to>
                    <xdr:col>2</xdr:col>
                    <xdr:colOff>76200</xdr:colOff>
                    <xdr:row>40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Button 33">
              <controlPr defaultSize="0" print="0" autoFill="0" autoPict="0" macro="[0]!Generate">
                <anchor moveWithCells="1">
                  <from>
                    <xdr:col>2</xdr:col>
                    <xdr:colOff>4709160</xdr:colOff>
                    <xdr:row>2</xdr:row>
                    <xdr:rowOff>22860</xdr:rowOff>
                  </from>
                  <to>
                    <xdr:col>3</xdr:col>
                    <xdr:colOff>7620</xdr:colOff>
                    <xdr:row>2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26</vt:i4>
      </vt:variant>
    </vt:vector>
  </HeadingPairs>
  <TitlesOfParts>
    <vt:vector size="27" baseType="lpstr">
      <vt:lpstr>Data</vt:lpstr>
      <vt:lpstr>Address</vt:lpstr>
      <vt:lpstr>AddrResponse</vt:lpstr>
      <vt:lpstr>Antennas</vt:lpstr>
      <vt:lpstr>BS_Number</vt:lpstr>
      <vt:lpstr>BSNumbResponse</vt:lpstr>
      <vt:lpstr>check_AOP</vt:lpstr>
      <vt:lpstr>check_AS</vt:lpstr>
      <vt:lpstr>check_EM</vt:lpstr>
      <vt:lpstr>check_PZ</vt:lpstr>
      <vt:lpstr>check_RRS</vt:lpstr>
      <vt:lpstr>check_RRS1</vt:lpstr>
      <vt:lpstr>check_RS</vt:lpstr>
      <vt:lpstr>check_TZ</vt:lpstr>
      <vt:lpstr>Code</vt:lpstr>
      <vt:lpstr>Construction</vt:lpstr>
      <vt:lpstr>Contractor</vt:lpstr>
      <vt:lpstr>GIP</vt:lpstr>
      <vt:lpstr>KS</vt:lpstr>
      <vt:lpstr>Organisation</vt:lpstr>
      <vt:lpstr>Power</vt:lpstr>
      <vt:lpstr>Range</vt:lpstr>
      <vt:lpstr>Rectifier</vt:lpstr>
      <vt:lpstr>Switcher</vt:lpstr>
      <vt:lpstr>TU_Number</vt:lpstr>
      <vt:lpstr>WorkType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Муковин</dc:creator>
  <cp:lastModifiedBy>Максим Муковин</cp:lastModifiedBy>
  <dcterms:created xsi:type="dcterms:W3CDTF">2015-06-05T18:19:34Z</dcterms:created>
  <dcterms:modified xsi:type="dcterms:W3CDTF">2023-11-20T21:33:03Z</dcterms:modified>
</cp:coreProperties>
</file>